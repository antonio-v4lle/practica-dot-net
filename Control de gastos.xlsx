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/Downloads/"/>
    </mc:Choice>
  </mc:AlternateContent>
  <xr:revisionPtr revIDLastSave="0" documentId="13_ncr:1_{76676C7A-599A-5D4F-BBB6-524C359FE81E}" xr6:coauthVersionLast="47" xr6:coauthVersionMax="47" xr10:uidLastSave="{00000000-0000-0000-0000-000000000000}"/>
  <bookViews>
    <workbookView xWindow="13540" yWindow="2620" windowWidth="39320" windowHeight="19880" activeTab="1" xr2:uid="{A38C8559-E3D5-5941-9EF5-83A4DC367D72}"/>
  </bookViews>
  <sheets>
    <sheet name="Resumen" sheetId="1" r:id="rId1"/>
    <sheet name="Calculos" sheetId="4" r:id="rId2"/>
    <sheet name="Catalogos" sheetId="3" r:id="rId3"/>
  </sheets>
  <definedNames>
    <definedName name="categories">Catalogos!$A$2:$A$11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4" l="1"/>
  <c r="F29" i="4"/>
  <c r="E28" i="4"/>
  <c r="F28" i="4"/>
  <c r="B9" i="4"/>
  <c r="E27" i="4"/>
  <c r="F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B8" i="4"/>
  <c r="H3" i="4" a="1"/>
  <c r="H3" i="4" s="1"/>
  <c r="C4" i="4" l="1"/>
  <c r="C3" i="4"/>
  <c r="B10" i="4"/>
  <c r="E3" i="4" l="1"/>
  <c r="D3" i="4"/>
  <c r="E4" i="4"/>
  <c r="D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V4lle</author>
  </authors>
  <commentList>
    <comment ref="L3" authorId="0" shapeId="0" xr:uid="{616BC380-D1B2-DC45-8111-A4C0768BAB02}">
      <text>
        <r>
          <rPr>
            <b/>
            <sz val="10"/>
            <color rgb="FF000000"/>
            <rFont val="Tahoma"/>
            <family val="2"/>
          </rPr>
          <t>V4lle: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34,650 netos solo para cubrir gastos actuales y renta minima por reubicación.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Sería preferible mantener los dos ingresos para estar mas olgados.</t>
        </r>
      </text>
    </comment>
    <comment ref="M3" authorId="0" shapeId="0" xr:uid="{8746698A-BE58-E647-AC6E-31419FE89109}">
      <text>
        <r>
          <rPr>
            <b/>
            <sz val="10"/>
            <color rgb="FF000000"/>
            <rFont val="Tahoma"/>
            <family val="2"/>
          </rPr>
          <t>V4lle: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53,150 Netos. Ideal, 100% de gastos y buen lugar de renta por reubicación.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 esta forma podría asumir toda la carga economica, y sería sencillo la reubicación de la familia.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<sst xmlns="http://schemas.openxmlformats.org/spreadsheetml/2006/main" count="73" uniqueCount="58">
  <si>
    <t>Ingresos</t>
  </si>
  <si>
    <t>Antonio</t>
  </si>
  <si>
    <t>Adriana</t>
  </si>
  <si>
    <t>% Proporcional</t>
  </si>
  <si>
    <t>Aportación mínima quincenal</t>
  </si>
  <si>
    <t>Gastos</t>
  </si>
  <si>
    <t>Categorías</t>
  </si>
  <si>
    <t>Alimentación</t>
  </si>
  <si>
    <t>Patrimonio</t>
  </si>
  <si>
    <t>Entretenimiento</t>
  </si>
  <si>
    <t>Salud</t>
  </si>
  <si>
    <t>Créditos</t>
  </si>
  <si>
    <t>Hormiga</t>
  </si>
  <si>
    <t>Vacaciones</t>
  </si>
  <si>
    <t>Gastos por categorías</t>
  </si>
  <si>
    <t>Monto estimado (MXN)</t>
  </si>
  <si>
    <t>Categoría</t>
  </si>
  <si>
    <t>Descripción</t>
  </si>
  <si>
    <t>Monto</t>
  </si>
  <si>
    <t>Fecha</t>
  </si>
  <si>
    <t>Primera quincena</t>
  </si>
  <si>
    <t>Segunda quincena</t>
  </si>
  <si>
    <t>(Créditos) Saldo</t>
  </si>
  <si>
    <t>(Créditos) Linea</t>
  </si>
  <si>
    <t>Hipoteca</t>
  </si>
  <si>
    <t>Automovil</t>
  </si>
  <si>
    <t>Despensa I</t>
  </si>
  <si>
    <t>Despensa II</t>
  </si>
  <si>
    <t>Educación</t>
  </si>
  <si>
    <t>Leonel</t>
  </si>
  <si>
    <t>Boda</t>
  </si>
  <si>
    <t>Rentas/Relocaciones</t>
  </si>
  <si>
    <t>Piso</t>
  </si>
  <si>
    <t>Servicios</t>
  </si>
  <si>
    <t>Agua</t>
  </si>
  <si>
    <t>Luz</t>
  </si>
  <si>
    <t>Internet</t>
  </si>
  <si>
    <t>Deficit</t>
  </si>
  <si>
    <t>Ingresos combinado</t>
  </si>
  <si>
    <t>Gastos compartidos</t>
  </si>
  <si>
    <t>Mensual Neto</t>
  </si>
  <si>
    <t xml:space="preserve"> Minimo </t>
  </si>
  <si>
    <t>Ideal</t>
  </si>
  <si>
    <t>Salario Bruto</t>
  </si>
  <si>
    <t>Glassdor</t>
  </si>
  <si>
    <t>Media</t>
  </si>
  <si>
    <t>Globant</t>
  </si>
  <si>
    <t>EPAM</t>
  </si>
  <si>
    <t>Neto</t>
  </si>
  <si>
    <t>Oferta Bruto</t>
  </si>
  <si>
    <t>Oferta Neta Aprox</t>
  </si>
  <si>
    <t>Combustible</t>
  </si>
  <si>
    <t>semanal</t>
  </si>
  <si>
    <t>suspendido</t>
  </si>
  <si>
    <t>Infosys</t>
  </si>
  <si>
    <t>Antonio TDC BBVA</t>
  </si>
  <si>
    <t>Antonio TDC UN</t>
  </si>
  <si>
    <t>Interes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</si>
</sst>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10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CC8A-5D70-E948-8DCB-0C55DB520B2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B66F-1C75-3046-8D6F-2F4F7A75A5BD}">
  <dimension ref="A1:P29"/>
  <sheetViews>
    <sheetView tabSelected="1" zoomScale="139" zoomScaleNormal="139" workbookViewId="0">
      <selection activeCell="I19" sqref="I19"/>
    </sheetView>
  </sheetViews>
  <sheetFormatPr baseColWidth="10" defaultRowHeight="16" x14ac:dyDescent="0.2"/>
  <cols>
    <col min="1" max="1" width="20" customWidth="1"/>
    <col min="2" max="2" width="21.5" bestFit="1" customWidth="1"/>
    <col min="3" max="3" width="13.33203125" bestFit="1" customWidth="1"/>
    <col min="4" max="4" width="24.83203125" bestFit="1" customWidth="1"/>
    <col min="5" max="5" width="15.33203125" bestFit="1" customWidth="1"/>
    <col min="6" max="6" width="15.83203125" bestFit="1" customWidth="1"/>
    <col min="8" max="8" width="18.6640625" bestFit="1" customWidth="1"/>
    <col min="9" max="9" width="19.83203125" bestFit="1" customWidth="1"/>
    <col min="10" max="10" width="11.6640625" bestFit="1" customWidth="1"/>
    <col min="12" max="12" width="16.33203125" customWidth="1"/>
    <col min="13" max="13" width="14.1640625" customWidth="1"/>
    <col min="14" max="14" width="12.5" bestFit="1" customWidth="1"/>
    <col min="15" max="15" width="16" customWidth="1"/>
    <col min="16" max="16" width="17.6640625" customWidth="1"/>
  </cols>
  <sheetData>
    <row r="1" spans="1:16" x14ac:dyDescent="0.2">
      <c r="L1" s="4" t="s">
        <v>43</v>
      </c>
      <c r="M1" s="4"/>
    </row>
    <row r="2" spans="1:16" x14ac:dyDescent="0.2">
      <c r="A2" t="s">
        <v>0</v>
      </c>
      <c r="B2" t="s">
        <v>40</v>
      </c>
      <c r="C2" t="s">
        <v>3</v>
      </c>
      <c r="D2" t="s">
        <v>4</v>
      </c>
      <c r="E2" t="s">
        <v>37</v>
      </c>
      <c r="H2" t="s">
        <v>14</v>
      </c>
      <c r="I2" t="s">
        <v>15</v>
      </c>
      <c r="L2" t="s">
        <v>41</v>
      </c>
      <c r="M2" t="s">
        <v>42</v>
      </c>
    </row>
    <row r="3" spans="1:16" x14ac:dyDescent="0.2">
      <c r="A3" t="s">
        <v>1</v>
      </c>
      <c r="B3" s="1">
        <v>42000</v>
      </c>
      <c r="C3" s="3">
        <f>B3/B8</f>
        <v>0.70469798657718119</v>
      </c>
      <c r="D3" s="1">
        <f>(C3*B9)/2</f>
        <v>17071.308724832215</v>
      </c>
      <c r="E3" s="2">
        <f>B3-(C3*B9)</f>
        <v>7857.3825503355692</v>
      </c>
      <c r="H3" t="str" cm="1">
        <f t="array" ref="H3:H12">categories</f>
        <v>Alimentación</v>
      </c>
      <c r="L3" s="1">
        <v>45000</v>
      </c>
      <c r="M3" s="1">
        <v>71000</v>
      </c>
    </row>
    <row r="4" spans="1:16" x14ac:dyDescent="0.2">
      <c r="A4" t="s">
        <v>2</v>
      </c>
      <c r="B4" s="1">
        <v>17600</v>
      </c>
      <c r="C4" s="3">
        <f>B4/B8</f>
        <v>0.29530201342281881</v>
      </c>
      <c r="D4" s="1">
        <f>(C4*B9)/2</f>
        <v>7153.6912751677855</v>
      </c>
      <c r="E4" s="2">
        <f>B4-(C4*B9)</f>
        <v>3292.6174496644289</v>
      </c>
      <c r="H4" t="str">
        <v>Patrimonio</v>
      </c>
    </row>
    <row r="5" spans="1:16" x14ac:dyDescent="0.2">
      <c r="C5" s="3"/>
      <c r="D5" s="1"/>
      <c r="H5" t="str">
        <v>Entretenimiento</v>
      </c>
      <c r="L5" t="s">
        <v>44</v>
      </c>
      <c r="M5" t="s">
        <v>45</v>
      </c>
      <c r="N5" t="s">
        <v>48</v>
      </c>
      <c r="O5" t="s">
        <v>49</v>
      </c>
      <c r="P5" t="s">
        <v>50</v>
      </c>
    </row>
    <row r="6" spans="1:16" x14ac:dyDescent="0.2">
      <c r="C6" s="3"/>
      <c r="D6" s="1"/>
      <c r="H6" t="str">
        <v>Salud</v>
      </c>
      <c r="L6" t="s">
        <v>46</v>
      </c>
      <c r="M6" s="1">
        <v>53500</v>
      </c>
      <c r="N6" s="1">
        <v>41462.519999999997</v>
      </c>
      <c r="O6" s="1">
        <v>78000</v>
      </c>
      <c r="P6" s="1">
        <v>57899.12</v>
      </c>
    </row>
    <row r="7" spans="1:16" x14ac:dyDescent="0.2">
      <c r="H7" t="str">
        <v>Vacaciones</v>
      </c>
      <c r="L7" t="s">
        <v>47</v>
      </c>
      <c r="M7" s="1">
        <v>68166</v>
      </c>
      <c r="N7" s="1">
        <v>51301</v>
      </c>
    </row>
    <row r="8" spans="1:16" x14ac:dyDescent="0.2">
      <c r="A8" t="s">
        <v>38</v>
      </c>
      <c r="B8" s="1">
        <f>SUM(B3:B4)</f>
        <v>59600</v>
      </c>
      <c r="H8" t="str">
        <v>Créditos</v>
      </c>
      <c r="L8" t="s">
        <v>54</v>
      </c>
      <c r="N8" s="1">
        <v>43349.17</v>
      </c>
      <c r="O8" s="1">
        <v>55268.34</v>
      </c>
    </row>
    <row r="9" spans="1:16" x14ac:dyDescent="0.2">
      <c r="A9" t="s">
        <v>39</v>
      </c>
      <c r="B9" s="1">
        <f>SUM(C17:C30)</f>
        <v>48450</v>
      </c>
      <c r="H9" t="str">
        <v>Hormiga</v>
      </c>
    </row>
    <row r="10" spans="1:16" x14ac:dyDescent="0.2">
      <c r="A10" t="s">
        <v>37</v>
      </c>
      <c r="B10" s="1">
        <f>B8-B9</f>
        <v>11150</v>
      </c>
      <c r="H10" t="str">
        <v>Educación</v>
      </c>
    </row>
    <row r="11" spans="1:16" x14ac:dyDescent="0.2">
      <c r="H11" t="str">
        <v>Rentas/Relocaciones</v>
      </c>
    </row>
    <row r="12" spans="1:16" x14ac:dyDescent="0.2">
      <c r="H12" t="str">
        <v>Servicios</v>
      </c>
    </row>
    <row r="15" spans="1:16" x14ac:dyDescent="0.2">
      <c r="A15" t="s">
        <v>5</v>
      </c>
    </row>
    <row r="16" spans="1:16" x14ac:dyDescent="0.2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H16" t="s">
        <v>23</v>
      </c>
      <c r="I16" t="s">
        <v>22</v>
      </c>
      <c r="J16" t="s">
        <v>57</v>
      </c>
    </row>
    <row r="17" spans="1:10" x14ac:dyDescent="0.2">
      <c r="A17" t="s">
        <v>8</v>
      </c>
      <c r="B17" t="s">
        <v>24</v>
      </c>
      <c r="C17" s="1">
        <v>7100</v>
      </c>
      <c r="D17">
        <v>19</v>
      </c>
      <c r="E17" s="1">
        <f t="shared" ref="E17:F29" si="0">$C17/2</f>
        <v>3550</v>
      </c>
      <c r="F17" s="1">
        <f t="shared" si="0"/>
        <v>3550</v>
      </c>
      <c r="H17" s="1">
        <v>716000</v>
      </c>
      <c r="I17" s="1">
        <v>606863.4</v>
      </c>
      <c r="J17" s="5">
        <v>0.1032</v>
      </c>
    </row>
    <row r="18" spans="1:10" x14ac:dyDescent="0.2">
      <c r="A18" t="s">
        <v>8</v>
      </c>
      <c r="B18" t="s">
        <v>25</v>
      </c>
      <c r="C18" s="1">
        <v>11800</v>
      </c>
      <c r="D18">
        <v>4</v>
      </c>
      <c r="E18" s="1">
        <f t="shared" si="0"/>
        <v>5900</v>
      </c>
      <c r="F18" s="1">
        <f t="shared" si="0"/>
        <v>5900</v>
      </c>
      <c r="H18" s="1"/>
      <c r="I18" s="1"/>
      <c r="J18" s="5"/>
    </row>
    <row r="19" spans="1:10" x14ac:dyDescent="0.2">
      <c r="A19" t="s">
        <v>7</v>
      </c>
      <c r="B19" t="s">
        <v>26</v>
      </c>
      <c r="C19" s="1">
        <v>2500</v>
      </c>
      <c r="D19">
        <v>1</v>
      </c>
      <c r="E19" s="1">
        <f t="shared" si="0"/>
        <v>1250</v>
      </c>
      <c r="F19" s="1">
        <f t="shared" si="0"/>
        <v>1250</v>
      </c>
      <c r="H19" s="1"/>
      <c r="I19" s="1"/>
      <c r="J19" s="5"/>
    </row>
    <row r="20" spans="1:10" x14ac:dyDescent="0.2">
      <c r="A20" t="s">
        <v>7</v>
      </c>
      <c r="B20" t="s">
        <v>27</v>
      </c>
      <c r="C20" s="1">
        <v>2500</v>
      </c>
      <c r="D20">
        <v>15</v>
      </c>
      <c r="E20" s="1">
        <f t="shared" si="0"/>
        <v>1250</v>
      </c>
      <c r="F20" s="1">
        <f t="shared" si="0"/>
        <v>1250</v>
      </c>
      <c r="H20" s="1"/>
      <c r="I20" s="1"/>
      <c r="J20" s="5"/>
    </row>
    <row r="21" spans="1:10" x14ac:dyDescent="0.2">
      <c r="A21" t="s">
        <v>28</v>
      </c>
      <c r="B21" t="s">
        <v>29</v>
      </c>
      <c r="C21" s="1">
        <v>0</v>
      </c>
      <c r="D21" t="s">
        <v>53</v>
      </c>
      <c r="E21" s="1">
        <f t="shared" si="0"/>
        <v>0</v>
      </c>
      <c r="F21" s="1">
        <f t="shared" si="0"/>
        <v>0</v>
      </c>
      <c r="H21" s="1"/>
      <c r="I21" s="1"/>
      <c r="J21" s="5"/>
    </row>
    <row r="22" spans="1:10" x14ac:dyDescent="0.2">
      <c r="A22" t="s">
        <v>11</v>
      </c>
      <c r="B22" t="s">
        <v>30</v>
      </c>
      <c r="C22" s="1">
        <v>0</v>
      </c>
      <c r="D22" t="s">
        <v>53</v>
      </c>
      <c r="E22" s="1">
        <f t="shared" si="0"/>
        <v>0</v>
      </c>
      <c r="F22" s="1">
        <f t="shared" si="0"/>
        <v>0</v>
      </c>
      <c r="H22" s="1"/>
      <c r="I22" s="1"/>
      <c r="J22" s="5"/>
    </row>
    <row r="23" spans="1:10" x14ac:dyDescent="0.2">
      <c r="A23" t="s">
        <v>31</v>
      </c>
      <c r="B23" t="s">
        <v>32</v>
      </c>
      <c r="C23" s="1">
        <v>3800</v>
      </c>
      <c r="D23">
        <v>15</v>
      </c>
      <c r="E23" s="1">
        <f t="shared" si="0"/>
        <v>1900</v>
      </c>
      <c r="F23" s="1">
        <f t="shared" si="0"/>
        <v>1900</v>
      </c>
      <c r="H23" s="1"/>
      <c r="I23" s="1"/>
      <c r="J23" s="5"/>
    </row>
    <row r="24" spans="1:10" x14ac:dyDescent="0.2">
      <c r="A24" t="s">
        <v>33</v>
      </c>
      <c r="B24" t="s">
        <v>34</v>
      </c>
      <c r="C24" s="1">
        <v>250</v>
      </c>
      <c r="D24">
        <v>1</v>
      </c>
      <c r="E24" s="1">
        <f t="shared" si="0"/>
        <v>125</v>
      </c>
      <c r="F24" s="1">
        <f t="shared" si="0"/>
        <v>125</v>
      </c>
      <c r="H24" s="1"/>
      <c r="I24" s="1"/>
      <c r="J24" s="5"/>
    </row>
    <row r="25" spans="1:10" x14ac:dyDescent="0.2">
      <c r="A25" t="s">
        <v>33</v>
      </c>
      <c r="B25" t="s">
        <v>35</v>
      </c>
      <c r="C25" s="1">
        <v>1100</v>
      </c>
      <c r="D25">
        <v>1</v>
      </c>
      <c r="E25" s="1">
        <f t="shared" si="0"/>
        <v>550</v>
      </c>
      <c r="F25" s="1">
        <f t="shared" si="0"/>
        <v>550</v>
      </c>
      <c r="H25" s="1"/>
      <c r="I25" s="1"/>
      <c r="J25" s="5"/>
    </row>
    <row r="26" spans="1:10" x14ac:dyDescent="0.2">
      <c r="A26" t="s">
        <v>33</v>
      </c>
      <c r="B26" t="s">
        <v>36</v>
      </c>
      <c r="C26" s="1">
        <v>1500</v>
      </c>
      <c r="D26">
        <v>1</v>
      </c>
      <c r="E26" s="1">
        <f t="shared" si="0"/>
        <v>750</v>
      </c>
      <c r="F26" s="1">
        <f t="shared" si="0"/>
        <v>750</v>
      </c>
      <c r="H26" s="1"/>
      <c r="I26" s="1"/>
      <c r="J26" s="5"/>
    </row>
    <row r="27" spans="1:10" x14ac:dyDescent="0.2">
      <c r="A27" t="s">
        <v>33</v>
      </c>
      <c r="B27" t="s">
        <v>51</v>
      </c>
      <c r="C27" s="1">
        <v>4400</v>
      </c>
      <c r="D27" t="s">
        <v>52</v>
      </c>
      <c r="E27" s="1">
        <f t="shared" si="0"/>
        <v>2200</v>
      </c>
      <c r="F27" s="1">
        <f t="shared" si="0"/>
        <v>2200</v>
      </c>
      <c r="H27" s="1"/>
      <c r="I27" s="1"/>
      <c r="J27" s="5"/>
    </row>
    <row r="28" spans="1:10" x14ac:dyDescent="0.2">
      <c r="A28" t="s">
        <v>11</v>
      </c>
      <c r="B28" t="s">
        <v>55</v>
      </c>
      <c r="C28" s="1">
        <v>9000</v>
      </c>
      <c r="D28">
        <v>9</v>
      </c>
      <c r="E28" s="1">
        <f t="shared" si="0"/>
        <v>4500</v>
      </c>
      <c r="F28" s="1">
        <f t="shared" si="0"/>
        <v>4500</v>
      </c>
      <c r="H28" s="1">
        <v>137400</v>
      </c>
      <c r="I28" s="1">
        <v>105357.96</v>
      </c>
      <c r="J28" s="5"/>
    </row>
    <row r="29" spans="1:10" x14ac:dyDescent="0.2">
      <c r="A29" t="s">
        <v>11</v>
      </c>
      <c r="B29" t="s">
        <v>56</v>
      </c>
      <c r="C29" s="1">
        <v>4500</v>
      </c>
      <c r="D29">
        <v>20</v>
      </c>
      <c r="E29" s="1">
        <f t="shared" si="0"/>
        <v>2250</v>
      </c>
      <c r="F29" s="1">
        <f t="shared" si="0"/>
        <v>2250</v>
      </c>
      <c r="H29" s="1">
        <v>5000</v>
      </c>
      <c r="I29" s="1">
        <v>3881.31</v>
      </c>
      <c r="J29" s="5"/>
    </row>
  </sheetData>
  <mergeCells count="1">
    <mergeCell ref="L1:M1"/>
  </mergeCells>
  <dataValidations disablePrompts="1" count="1">
    <dataValidation type="list" allowBlank="1" showInputMessage="1" showErrorMessage="1" sqref="A17:A26" xr:uid="{1F3E4686-EF51-844E-883B-FF1F5E6160C4}">
      <formula1>categories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F03A-3A53-984D-A827-EDAC66249313}">
  <dimension ref="A1:A11"/>
  <sheetViews>
    <sheetView workbookViewId="0">
      <selection activeCell="A11" sqref="A11"/>
    </sheetView>
  </sheetViews>
  <sheetFormatPr baseColWidth="10" defaultRowHeight="16" x14ac:dyDescent="0.2"/>
  <cols>
    <col min="1" max="1" width="29.1640625" customWidth="1"/>
  </cols>
  <sheetData>
    <row r="1" spans="1:1" x14ac:dyDescent="0.2">
      <c r="A1" t="s">
        <v>6</v>
      </c>
    </row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13</v>
      </c>
    </row>
    <row r="7" spans="1:1" x14ac:dyDescent="0.2">
      <c r="A7" t="s">
        <v>11</v>
      </c>
    </row>
    <row r="8" spans="1:1" x14ac:dyDescent="0.2">
      <c r="A8" t="s">
        <v>12</v>
      </c>
    </row>
    <row r="9" spans="1:1" x14ac:dyDescent="0.2">
      <c r="A9" t="s">
        <v>28</v>
      </c>
    </row>
    <row r="10" spans="1:1" x14ac:dyDescent="0.2">
      <c r="A10" t="s">
        <v>31</v>
      </c>
    </row>
    <row r="11" spans="1:1" x14ac:dyDescent="0.2">
      <c r="A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Resumen</vt:lpstr>
      <vt:lpstr>Calculos</vt:lpstr>
      <vt:lpstr>Catalogos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Valle</dc:creator>
  <cp:lastModifiedBy>Antonio Valle</cp:lastModifiedBy>
  <dcterms:created xsi:type="dcterms:W3CDTF">2025-10-24T20:46:23Z</dcterms:created>
  <dcterms:modified xsi:type="dcterms:W3CDTF">2026-03-30T23:43:59Z</dcterms:modified>
</cp:coreProperties>
</file>